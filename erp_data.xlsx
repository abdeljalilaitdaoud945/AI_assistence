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FacturesImpayees" sheetId="2" state="visible" r:id="rId2"/>
    <sheet xmlns:r="http://schemas.openxmlformats.org/officeDocument/2006/relationships" name="Projets" sheetId="3" state="visible" r:id="rId3"/>
    <sheet xmlns:r="http://schemas.openxmlformats.org/officeDocument/2006/relationships" name="Vente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7C3AED"/>
      <sz val="14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8" customWidth="1" min="4" max="4"/>
    <col width="14" customWidth="1" min="5" max="5"/>
  </cols>
  <sheetData>
    <row r="1">
      <c r="A1" s="1" t="inlineStr">
        <is>
          <t>Indicateur</t>
        </is>
      </c>
      <c r="B1" s="1" t="inlineStr">
        <is>
          <t>Réalisé</t>
        </is>
      </c>
      <c r="C1" s="1" t="inlineStr">
        <is>
          <t>Objectif</t>
        </is>
      </c>
      <c r="D1" s="1" t="inlineStr">
        <is>
          <t>Unité</t>
        </is>
      </c>
      <c r="E1" s="1" t="inlineStr">
        <is>
          <t>Écart</t>
        </is>
      </c>
    </row>
    <row r="2">
      <c r="A2" s="2" t="inlineStr">
        <is>
          <t>Chiffre d'affaires YTD</t>
        </is>
      </c>
      <c r="B2" s="3" t="n">
        <v>12500000</v>
      </c>
      <c r="C2" s="3" t="n">
        <v>15000000</v>
      </c>
      <c r="D2" s="4" t="inlineStr">
        <is>
          <t>MAD</t>
        </is>
      </c>
      <c r="E2" s="3">
        <f>B2-C2</f>
        <v/>
      </c>
    </row>
    <row r="3">
      <c r="A3" s="2" t="inlineStr">
        <is>
          <t>Marge globale</t>
        </is>
      </c>
      <c r="B3" s="3" t="n">
        <v>22.5</v>
      </c>
      <c r="C3" s="3" t="n">
        <v>28</v>
      </c>
      <c r="D3" s="4" t="inlineStr">
        <is>
          <t>%</t>
        </is>
      </c>
      <c r="E3" s="3">
        <f>B3-C3</f>
        <v/>
      </c>
    </row>
    <row r="4">
      <c r="A4" s="2" t="inlineStr">
        <is>
          <t>Trésorerie disponible</t>
        </is>
      </c>
      <c r="B4" s="3" t="n">
        <v>850000</v>
      </c>
      <c r="C4" s="3" t="n">
        <v>1000000</v>
      </c>
      <c r="D4" s="4" t="inlineStr">
        <is>
          <t>MAD</t>
        </is>
      </c>
      <c r="E4" s="3">
        <f>B4-C4</f>
        <v/>
      </c>
    </row>
    <row r="5">
      <c r="A5" s="2" t="inlineStr">
        <is>
          <t>Taux d'occupation équipes</t>
        </is>
      </c>
      <c r="B5" s="3" t="n">
        <v>92.5</v>
      </c>
      <c r="C5" s="3" t="n">
        <v>85</v>
      </c>
      <c r="D5" s="4" t="inlineStr">
        <is>
          <t>%</t>
        </is>
      </c>
      <c r="E5" s="3">
        <f>B5-C5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N° Facture</t>
        </is>
      </c>
      <c r="B1" s="1" t="inlineStr">
        <is>
          <t>Client</t>
        </is>
      </c>
      <c r="C1" s="1" t="inlineStr">
        <is>
          <t>Date émission</t>
        </is>
      </c>
      <c r="D1" s="1" t="inlineStr">
        <is>
          <t>Échéance</t>
        </is>
      </c>
      <c r="E1" s="1" t="inlineStr">
        <is>
          <t>Montant (MAD)</t>
        </is>
      </c>
      <c r="F1" s="1" t="inlineStr">
        <is>
          <t>Retard (jours)</t>
        </is>
      </c>
      <c r="G1" s="1" t="inlineStr">
        <is>
          <t>Statut</t>
        </is>
      </c>
    </row>
    <row r="2">
      <c r="A2" s="4" t="inlineStr">
        <is>
          <t>F-2026-0312</t>
        </is>
      </c>
      <c r="B2" s="4" t="inlineStr">
        <is>
          <t>Groupe ONA</t>
        </is>
      </c>
      <c r="C2" s="4" t="inlineStr">
        <is>
          <t>2026-03-14</t>
        </is>
      </c>
      <c r="D2" s="4" t="inlineStr">
        <is>
          <t>2026-04-14</t>
        </is>
      </c>
      <c r="E2" s="3" t="n">
        <v>180000</v>
      </c>
      <c r="F2" s="3" t="n">
        <v>62</v>
      </c>
      <c r="G2" s="4" t="inlineStr">
        <is>
          <t>En retard</t>
        </is>
      </c>
    </row>
    <row r="3">
      <c r="A3" s="4" t="inlineStr">
        <is>
          <t>F-2026-0418</t>
        </is>
      </c>
      <c r="B3" s="4" t="inlineStr">
        <is>
          <t>Ministère de la Santé</t>
        </is>
      </c>
      <c r="C3" s="4" t="inlineStr">
        <is>
          <t>2026-04-02</t>
        </is>
      </c>
      <c r="D3" s="4" t="inlineStr">
        <is>
          <t>2026-05-02</t>
        </is>
      </c>
      <c r="E3" s="3" t="n">
        <v>165000</v>
      </c>
      <c r="F3" s="3" t="n">
        <v>44</v>
      </c>
      <c r="G3" s="4" t="inlineStr">
        <is>
          <t>En retard</t>
        </is>
      </c>
    </row>
    <row r="4">
      <c r="A4" s="4" t="inlineStr">
        <is>
          <t>F-2026-0428</t>
        </is>
      </c>
      <c r="B4" s="4" t="inlineStr">
        <is>
          <t>TechCorp</t>
        </is>
      </c>
      <c r="C4" s="4" t="inlineStr">
        <is>
          <t>2026-04-28</t>
        </is>
      </c>
      <c r="D4" s="4" t="inlineStr">
        <is>
          <t>2026-05-28</t>
        </is>
      </c>
      <c r="E4" s="3" t="n">
        <v>75000</v>
      </c>
      <c r="F4" s="3" t="n">
        <v>18</v>
      </c>
      <c r="G4" s="4" t="inlineStr">
        <is>
          <t>En retard</t>
        </is>
      </c>
    </row>
    <row r="5">
      <c r="A5" s="4" t="inlineStr">
        <is>
          <t>F-2026-0501</t>
        </is>
      </c>
      <c r="B5" s="4" t="inlineStr">
        <is>
          <t>MegaBank</t>
        </is>
      </c>
      <c r="C5" s="4" t="inlineStr">
        <is>
          <t>2026-05-01</t>
        </is>
      </c>
      <c r="D5" s="4" t="inlineStr">
        <is>
          <t>2026-06-01</t>
        </is>
      </c>
      <c r="E5" s="3" t="n">
        <v>95000</v>
      </c>
      <c r="F5" s="3" t="n">
        <v>0</v>
      </c>
      <c r="G5" s="4" t="inlineStr">
        <is>
          <t>À jour</t>
        </is>
      </c>
    </row>
    <row r="7">
      <c r="D7" s="5" t="inlineStr">
        <is>
          <t>TOTAL IMPAYÉS</t>
        </is>
      </c>
      <c r="E7" s="5">
        <f>SUMIF(G2:G5,"En retard",E2:E5)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4" customWidth="1" min="4" max="4"/>
    <col width="18" customWidth="1" min="5" max="5"/>
    <col width="38" customWidth="1" min="6" max="6"/>
    <col width="14" customWidth="1" min="7" max="7"/>
  </cols>
  <sheetData>
    <row r="1">
      <c r="A1" s="1" t="inlineStr">
        <is>
          <t>Code</t>
        </is>
      </c>
      <c r="B1" s="1" t="inlineStr">
        <is>
          <t>Client</t>
        </is>
      </c>
      <c r="C1" s="1" t="inlineStr">
        <is>
          <t>Projet</t>
        </is>
      </c>
      <c r="D1" s="1" t="inlineStr">
        <is>
          <t>Retard (jours)</t>
        </is>
      </c>
      <c r="E1" s="1" t="inlineStr">
        <is>
          <t>Impact estimé (MAD)</t>
        </is>
      </c>
      <c r="F1" s="1" t="inlineStr">
        <is>
          <t>Cause principale</t>
        </is>
      </c>
      <c r="G1" s="1" t="inlineStr">
        <is>
          <t>Responsable</t>
        </is>
      </c>
    </row>
    <row r="2">
      <c r="A2" s="4" t="inlineStr">
        <is>
          <t>P-001</t>
        </is>
      </c>
      <c r="B2" s="4" t="inlineStr">
        <is>
          <t>TechCorp</t>
        </is>
      </c>
      <c r="C2" s="4" t="inlineStr">
        <is>
          <t>Migration Cloud AWS</t>
        </is>
      </c>
      <c r="D2" s="3" t="n">
        <v>18</v>
      </c>
      <c r="E2" s="3" t="n">
        <v>120000</v>
      </c>
      <c r="F2" s="4" t="inlineStr">
        <is>
          <t>Manque de ressources DevOps seniors</t>
        </is>
      </c>
      <c r="G2" s="4" t="inlineStr">
        <is>
          <t>O. Sahel</t>
        </is>
      </c>
    </row>
    <row r="3">
      <c r="A3" s="4" t="inlineStr">
        <is>
          <t>P-002</t>
        </is>
      </c>
      <c r="B3" s="4" t="inlineStr">
        <is>
          <t>MegaBank</t>
        </is>
      </c>
      <c r="C3" s="4" t="inlineStr">
        <is>
          <t>Audit de Sécurité SI</t>
        </is>
      </c>
      <c r="D3" s="3" t="n">
        <v>7</v>
      </c>
      <c r="E3" s="3" t="n">
        <v>45000</v>
      </c>
      <c r="F3" s="4" t="inlineStr">
        <is>
          <t>Attente des accès VPN côté client</t>
        </is>
      </c>
      <c r="G3" s="4" t="inlineStr">
        <is>
          <t>O. Sahel</t>
        </is>
      </c>
    </row>
    <row r="4">
      <c r="A4" s="4" t="inlineStr">
        <is>
          <t>P-003</t>
        </is>
      </c>
      <c r="B4" s="4" t="inlineStr">
        <is>
          <t>AutoMaroc</t>
        </is>
      </c>
      <c r="C4" s="4" t="inlineStr">
        <is>
          <t>Déploiement ERP</t>
        </is>
      </c>
      <c r="D4" s="3" t="n">
        <v>25</v>
      </c>
      <c r="E4" s="3" t="n">
        <v>250000</v>
      </c>
      <c r="F4" s="4" t="inlineStr">
        <is>
          <t>Changement de périmètre (Scope creep)</t>
        </is>
      </c>
      <c r="G4" s="4" t="inlineStr">
        <is>
          <t>Y. Tahiri</t>
        </is>
      </c>
    </row>
    <row r="6">
      <c r="D6" s="5" t="inlineStr">
        <is>
          <t>IMPACT TOTAL</t>
        </is>
      </c>
      <c r="E6" s="5">
        <f>SUM(E2:E4)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Service</t>
        </is>
      </c>
      <c r="B1" s="1" t="inlineStr">
        <is>
          <t>CA généré (MAD)</t>
        </is>
      </c>
      <c r="C1" s="1" t="inlineStr">
        <is>
          <t>Croissance (%)</t>
        </is>
      </c>
      <c r="D1" s="1" t="inlineStr">
        <is>
          <t>Nb projets actifs</t>
        </is>
      </c>
    </row>
    <row r="2">
      <c r="A2" s="4" t="inlineStr">
        <is>
          <t>Intégration Cybersécurité</t>
        </is>
      </c>
      <c r="B2" s="3" t="n">
        <v>4500000</v>
      </c>
      <c r="C2" s="3" t="n">
        <v>15</v>
      </c>
      <c r="D2" s="3" t="n">
        <v>12</v>
      </c>
    </row>
    <row r="3">
      <c r="A3" s="4" t="inlineStr">
        <is>
          <t>Consulting Cloud</t>
        </is>
      </c>
      <c r="B3" s="3" t="n">
        <v>3200000</v>
      </c>
      <c r="C3" s="3" t="n">
        <v>8</v>
      </c>
      <c r="D3" s="3" t="n">
        <v>8</v>
      </c>
    </row>
    <row r="4">
      <c r="A4" s="4" t="inlineStr">
        <is>
          <t>Support &amp; Maintenance</t>
        </is>
      </c>
      <c r="B4" s="3" t="n">
        <v>1800000</v>
      </c>
      <c r="C4" s="3" t="n">
        <v>-2</v>
      </c>
      <c r="D4" s="3" t="n">
        <v>22</v>
      </c>
    </row>
    <row r="5">
      <c r="A5" s="4" t="inlineStr">
        <is>
          <t>Formation &amp; Conseil</t>
        </is>
      </c>
      <c r="B5" s="3" t="n">
        <v>950000</v>
      </c>
      <c r="C5" s="3" t="n">
        <v>5</v>
      </c>
      <c r="D5" s="3" t="n">
        <v>4</v>
      </c>
    </row>
    <row r="7">
      <c r="A7" s="5" t="inlineStr">
        <is>
          <t>TOTAL CA</t>
        </is>
      </c>
      <c r="B7" s="5">
        <f>SUM(B2:B5)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Fichier ERP — INPT App</t>
        </is>
      </c>
    </row>
    <row r="2">
      <c r="A2" s="7" t="inlineStr"/>
    </row>
    <row r="3">
      <c r="A3" s="7" t="inlineStr">
        <is>
          <t>Modifie librement les chiffres dans les 4 onglets.</t>
        </is>
      </c>
    </row>
    <row r="4">
      <c r="A4" s="7" t="inlineStr">
        <is>
          <t>L'app relit le fichier à chaque ouverture de la vue ERP.</t>
        </is>
      </c>
    </row>
    <row r="5">
      <c r="A5" s="7" t="inlineStr"/>
    </row>
    <row r="6">
      <c r="A6" s="7" t="inlineStr">
        <is>
          <t>Situation actuelle : trésorerie critique, marge sous objectif.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2026-06-15T00:04:37Z</dcterms:created>
  <dcterms:modified xmlns:dcterms="http://purl.org/dc/terms/" xmlns:xsi="http://www.w3.org/2001/XMLSchema-instance" xsi:type="dcterms:W3CDTF">2026-06-15T00:04:37Z</dcterms:modified>
</cp:coreProperties>
</file>